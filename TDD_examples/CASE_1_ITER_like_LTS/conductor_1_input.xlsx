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HAN" sheetId="1" state="visible" r:id="rId2"/>
    <sheet name="STACK" sheetId="2" state="visible" r:id="rId3"/>
    <sheet name="STR_MIX" sheetId="3" state="visible" r:id="rId4"/>
    <sheet name="STR_STAB" sheetId="4" state="visible" r:id="rId5"/>
    <sheet name="Z_JACKET" sheetId="5" state="visible" r:id="rId6"/>
  </sheets>
  <externalReferences>
    <externalReference r:id="rId7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<sst xmlns="http://schemas.openxmlformats.org/spreadsheetml/2006/main" count="342" uniqueCount="143">
  <si>
    <t xml:space="preserve">CHAN</t>
  </si>
  <si>
    <t xml:space="preserve">element of the type fluid</t>
  </si>
  <si>
    <t xml:space="preserve">row used to get the correct number of channel objects in cell B1 as the sum of values in this row starting from cell D2</t>
  </si>
  <si>
    <t xml:space="preserve">CROSSECTION</t>
  </si>
  <si>
    <t xml:space="preserve">m2</t>
  </si>
  <si>
    <t xml:space="preserve">float</t>
  </si>
  <si>
    <t xml:space="preserve">cross section</t>
  </si>
  <si>
    <t xml:space="preserve">X_barycenter</t>
  </si>
  <si>
    <t xml:space="preserve">m</t>
  </si>
  <si>
    <t xml:space="preserve">x coordinate of the barycenter. Not used if flag ITYMESH = -1 in file conductor_grid.</t>
  </si>
  <si>
    <t xml:space="preserve">Y_barycenter</t>
  </si>
  <si>
    <t xml:space="preserve">y coordinate of the barycenter. Not used if flag ITYMESH = -1 in file conductor_grid.</t>
  </si>
  <si>
    <t xml:space="preserve">FLUID_TYPE</t>
  </si>
  <si>
    <t xml:space="preserve">-</t>
  </si>
  <si>
    <t xml:space="preserve">string</t>
  </si>
  <si>
    <t xml:space="preserve">type of fluid</t>
  </si>
  <si>
    <t xml:space="preserve">Helium</t>
  </si>
  <si>
    <t xml:space="preserve">HYDIAMETER</t>
  </si>
  <si>
    <t xml:space="preserve">hydraulic diameter</t>
  </si>
  <si>
    <t xml:space="preserve">Roughness</t>
  </si>
  <si>
    <t xml:space="preserve">channel equivalent roughness</t>
  </si>
  <si>
    <t xml:space="preserve">COSTETA</t>
  </si>
  <si>
    <t xml:space="preserve">angle wrt axis</t>
  </si>
  <si>
    <t xml:space="preserve">VOID_FRACTION</t>
  </si>
  <si>
    <t xml:space="preserve">VIOD FRACTION OF THE CHANNEL = VOID AREA/TOTALAREA OF THE CHANNEL</t>
  </si>
  <si>
    <t xml:space="preserve">IFRICTION</t>
  </si>
  <si>
    <t xml:space="preserve">integer</t>
  </si>
  <si>
    <t xml:space="preserve">FLAG FRICTION MODEL</t>
  </si>
  <si>
    <t xml:space="preserve">FRICTION_MULTIPLIER</t>
  </si>
  <si>
    <t xml:space="preserve">multiplier of the friction factor, defined for each channel (For the bundle,  </t>
  </si>
  <si>
    <t xml:space="preserve">ISRECTANGULAR</t>
  </si>
  <si>
    <t xml:space="preserve">boolean</t>
  </si>
  <si>
    <t xml:space="preserve">SIDE1</t>
  </si>
  <si>
    <t xml:space="preserve">SIDE2</t>
  </si>
  <si>
    <t xml:space="preserve">CHANNEL_TYPE</t>
  </si>
  <si>
    <t xml:space="preserve">string that identifies the type of the channel (hole, bundle)</t>
  </si>
  <si>
    <t xml:space="preserve">hole</t>
  </si>
  <si>
    <t xml:space="preserve">bundle</t>
  </si>
  <si>
    <t xml:space="preserve">Flag_htc_steady_corr</t>
  </si>
  <si>
    <t xml:space="preserve">flag to select the correlation used to evaluate the channel steady state heat transfer coefficient</t>
  </si>
  <si>
    <t xml:space="preserve">Show_fig</t>
  </si>
  <si>
    <t xml:space="preserve">flag to show the real time plots of the maximum temperature and of the inlet and outlet mass flow rate of the channel. Possible values True, False; defaults to True. </t>
  </si>
  <si>
    <t xml:space="preserve">STACK</t>
  </si>
  <si>
    <t xml:space="preserve">element of the type "stack"</t>
  </si>
  <si>
    <t xml:space="preserve">row used to get the correct number of superconductor strands objects in cell B1 as the sum of values in this row starting from cell D2</t>
  </si>
  <si>
    <t xml:space="preserve">Tape_number</t>
  </si>
  <si>
    <t xml:space="preserve">int</t>
  </si>
  <si>
    <t xml:space="preserve">Number of tapes constituting the stack</t>
  </si>
  <si>
    <t xml:space="preserve">Stack_witdh</t>
  </si>
  <si>
    <t xml:space="preserve">Width of the stack of tapes</t>
  </si>
  <si>
    <t xml:space="preserve">Stabilizer_thickness</t>
  </si>
  <si>
    <t xml:space="preserve">Total thickness of the stabilizer layer; set to 0 if no stabilizer.</t>
  </si>
  <si>
    <t xml:space="preserve">Overlayer_thickness</t>
  </si>
  <si>
    <t xml:space="preserve">Total thickness of the overlayer layer; set to 0 if no overlayer.</t>
  </si>
  <si>
    <t xml:space="preserve">HTS_thickness</t>
  </si>
  <si>
    <t xml:space="preserve">Total thickness of the HTS layer.</t>
  </si>
  <si>
    <t xml:space="preserve">Substrate_thickness</t>
  </si>
  <si>
    <t xml:space="preserve">Total thickness of the substrate layer; set to 0 if no substrate.</t>
  </si>
  <si>
    <t xml:space="preserve">Solder_thickness</t>
  </si>
  <si>
    <t xml:space="preserve">Total thickness of the solder layer; set to 0 if no solder.</t>
  </si>
  <si>
    <t xml:space="preserve">Material_number</t>
  </si>
  <si>
    <t xml:space="preserve">Number of materials constituting the tape.</t>
  </si>
  <si>
    <t xml:space="preserve">Stabilizer_material</t>
  </si>
  <si>
    <t xml:space="preserve">Stabilizer material: cu = copper; al = alluminium; none = no stabilizer</t>
  </si>
  <si>
    <t xml:space="preserve">Overlayer_material</t>
  </si>
  <si>
    <t xml:space="preserve">Overlayer material: cu = copper; al = alluminium; none = no overlayer</t>
  </si>
  <si>
    <t xml:space="preserve">HTS_material</t>
  </si>
  <si>
    <t xml:space="preserve">HTS material: YBCO = REBCO with RE = Yttrium; Bi2223 = 1G material (not available); Bi2212 = 1G material (not available);</t>
  </si>
  <si>
    <t xml:space="preserve">Substrate_material</t>
  </si>
  <si>
    <t xml:space="preserve">Substrate material: hc276 = hastelloy 276; none = no substrate</t>
  </si>
  <si>
    <t xml:space="preserve">Solder_material</t>
  </si>
  <si>
    <t xml:space="preserve">Stabilizer material: Sn60Pb40 = solder alloy 60% tin 40% led ; none = no solder</t>
  </si>
  <si>
    <t xml:space="preserve">c0</t>
  </si>
  <si>
    <t xml:space="preserve">AT/m^2</t>
  </si>
  <si>
    <t xml:space="preserve">scaling property</t>
  </si>
  <si>
    <t xml:space="preserve">Bc20m</t>
  </si>
  <si>
    <t xml:space="preserve">T</t>
  </si>
  <si>
    <t xml:space="preserve">Tc0m</t>
  </si>
  <si>
    <t xml:space="preserve">K</t>
  </si>
  <si>
    <t xml:space="preserve">nn</t>
  </si>
  <si>
    <t xml:space="preserve">Power low exponent assumed independent of the temperature, used to evaluate superconducting electrical resistivity. Default to 20.</t>
  </si>
  <si>
    <t xml:space="preserve">E0</t>
  </si>
  <si>
    <t xml:space="preserve">V/m</t>
  </si>
  <si>
    <t xml:space="preserve">Reference electric field for the power law, used to evaluate superconducting electrical resistivity. Defaults to 10^-5 V/m</t>
  </si>
  <si>
    <t xml:space="preserve">flag to show the real time plots of the maximum temperature strand. Possible values True, False; defaults to True. </t>
  </si>
  <si>
    <t xml:space="preserve">STR_MIX</t>
  </si>
  <si>
    <t xml:space="preserve">element of the type "SC+Cu strands"</t>
  </si>
  <si>
    <t xml:space="preserve">row used to get the correct number of mixed copper-supeconductor strands objects in cell B1 as the sum of values in this row starting from cell D2</t>
  </si>
  <si>
    <t xml:space="preserve">perpendicular cross section </t>
  </si>
  <si>
    <t xml:space="preserve">x coordinate of the barycenter</t>
  </si>
  <si>
    <t xml:space="preserve">y coordinate of the barycenter</t>
  </si>
  <si>
    <t xml:space="preserve">ISTAB_NON_STAB</t>
  </si>
  <si>
    <t xml:space="preserve">flag to select the definition of the stabilizer not stabilizer ratio: 0 = definition does not accounts of segregated stabilizer strands; 1 = definition accounts of segregated stabilizer strands .</t>
  </si>
  <si>
    <t xml:space="preserve">STAB_NON_STAB</t>
  </si>
  <si>
    <t xml:space="preserve">stabilizer-non stabilizer ratio</t>
  </si>
  <si>
    <t xml:space="preserve">NUM_MATERIAL_TYPES</t>
  </si>
  <si>
    <t xml:space="preserve"> number of materials making up the strand</t>
  </si>
  <si>
    <t xml:space="preserve">N_sc_strand</t>
  </si>
  <si>
    <t xml:space="preserve">Number of superconducting strands</t>
  </si>
  <si>
    <t xml:space="preserve">d_sc_strand</t>
  </si>
  <si>
    <t xml:space="preserve">Diameter of superconducting strands</t>
  </si>
  <si>
    <t xml:space="preserve">N_stab_strand</t>
  </si>
  <si>
    <t xml:space="preserve">Number of stabilizer strands</t>
  </si>
  <si>
    <t xml:space="preserve">d_stab_strand</t>
  </si>
  <si>
    <t xml:space="preserve">Diameter of stabilizer strands</t>
  </si>
  <si>
    <t xml:space="preserve">stabilizer_material</t>
  </si>
  <si>
    <t xml:space="preserve"> flag for stabilzer material: Cu = copper; Al = aluminium</t>
  </si>
  <si>
    <t xml:space="preserve">Cu</t>
  </si>
  <si>
    <t xml:space="preserve">RRR</t>
  </si>
  <si>
    <t xml:space="preserve">triple R for the Copper part</t>
  </si>
  <si>
    <t xml:space="preserve">superconducting_material</t>
  </si>
  <si>
    <t xml:space="preserve">flag for material: NbTi = niobiun titanium, Nb3Sn = niobium thin, HTS = high critical temperature superconducting material, scaling.dat = scaling from file scaling.dat</t>
  </si>
  <si>
    <t xml:space="preserve">Nb3Sn</t>
  </si>
  <si>
    <t xml:space="preserve">C0_MODE</t>
  </si>
  <si>
    <t xml:space="preserve">Flag for the definition scaling coefficient c0: 0 = engineering; 1 = physical; defaults to 0</t>
  </si>
  <si>
    <t xml:space="preserve">STR_STAB</t>
  </si>
  <si>
    <t xml:space="preserve">element of the type "Cu strands"</t>
  </si>
  <si>
    <t xml:space="preserve">row used to get the correct number of copper strand objects in cell B1 as the sum of values in this row starting from cell D2</t>
  </si>
  <si>
    <t xml:space="preserve">Z_JACKET</t>
  </si>
  <si>
    <t xml:space="preserve">element of the type "jacket"</t>
  </si>
  <si>
    <t xml:space="preserve">row used to get the correct number of jacket objects in cell B1 as the sum of values in this row starting from cell D2</t>
  </si>
  <si>
    <t xml:space="preserve">jacket_cross_section</t>
  </si>
  <si>
    <t xml:space="preserve">Cross section, pure jacket</t>
  </si>
  <si>
    <t xml:space="preserve">insulation_cross_section</t>
  </si>
  <si>
    <t xml:space="preserve">Cross section, insulation around the jacket</t>
  </si>
  <si>
    <t xml:space="preserve">y coordinate of the barycenter Not used if flag ITYMESH = -1 in file conductor_grid.</t>
  </si>
  <si>
    <t xml:space="preserve">Inner_perimeter</t>
  </si>
  <si>
    <t xml:space="preserve">Inner lateral surface per unit length of the jacket</t>
  </si>
  <si>
    <t xml:space="preserve">Outer_perimeter</t>
  </si>
  <si>
    <t xml:space="preserve">Outer lateral surface per unit length of the jacket</t>
  </si>
  <si>
    <t xml:space="preserve"> number of materials making up the jacket</t>
  </si>
  <si>
    <t xml:space="preserve">jacket_material</t>
  </si>
  <si>
    <t xml:space="preserve">Flag, ss = steinless steel (old Fortran IJK); none = insulation component</t>
  </si>
  <si>
    <t xml:space="preserve">ss</t>
  </si>
  <si>
    <t xml:space="preserve">insulation_material</t>
  </si>
  <si>
    <t xml:space="preserve">Flag, ge = glass epoxy; none = pure metal component</t>
  </si>
  <si>
    <t xml:space="preserve">ge</t>
  </si>
  <si>
    <t xml:space="preserve">Jacket_kind</t>
  </si>
  <si>
    <t xml:space="preserve">kind of jacket: outer_insulation, enclosure, whole_enclosure, spiral, inner_jacket</t>
  </si>
  <si>
    <t xml:space="preserve">whole_enclosure</t>
  </si>
  <si>
    <t xml:space="preserve">Emissivity</t>
  </si>
  <si>
    <t xml:space="preserve">emissivity of the material</t>
  </si>
  <si>
    <t xml:space="preserve">flag to show the real time plots of the maximum temperature jacket. Possible values True, False; defaults to True.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</si>
</sst>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E+00"/>
    <numFmt numFmtId="167" formatCode="0.000E+00"/>
    <numFmt numFmtId="168" formatCode="0.00"/>
    <numFmt numFmtId="169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transitory_input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5" activeCellId="0" sqref="A5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2" width="8.43"/>
    <col collapsed="false" customWidth="true" hidden="false" outlineLevel="0" max="3" min="3" style="2" width="12.14"/>
    <col collapsed="false" customWidth="true" hidden="false" outlineLevel="0" max="4" min="4" style="1" width="68"/>
    <col collapsed="false" customWidth="true" hidden="false" outlineLevel="0" max="6" min="5" style="2" width="9.86"/>
    <col collapsed="false" customWidth="false" hidden="false" outlineLevel="0" max="16384" min="7" style="1" width="8.86"/>
  </cols>
  <sheetData>
    <row r="1" customFormat="false" ht="15" hidden="false" customHeight="false" outlineLevel="0" collapsed="false">
      <c r="A1" s="3" t="s">
        <v>0</v>
      </c>
      <c r="B1" s="4" t="n">
        <f aca="false">SUM(E$2:Z$2)</f>
        <v>2</v>
      </c>
      <c r="D1" s="1" t="s">
        <v>1</v>
      </c>
      <c r="E1" s="5" t="n">
        <v>1</v>
      </c>
      <c r="F1" s="5" t="n">
        <v>2</v>
      </c>
    </row>
    <row r="2" customFormat="false" ht="30" hidden="false" customHeight="false" outlineLevel="0" collapsed="false">
      <c r="A2" s="6"/>
      <c r="B2" s="5"/>
      <c r="D2" s="7" t="s">
        <v>2</v>
      </c>
      <c r="E2" s="4" t="n">
        <f aca="false">IF(E$1 &gt; 0,1,0)</f>
        <v>1</v>
      </c>
      <c r="F2" s="4" t="n">
        <f aca="false">IF(F$1 &gt; 0,1,0)</f>
        <v>1</v>
      </c>
    </row>
    <row r="3" customFormat="false" ht="15" hidden="false" customHeight="false" outlineLevel="0" collapsed="false">
      <c r="A3" s="3" t="str">
        <f aca="false">[1]TRANSIENT!A$2</f>
        <v>Variable name</v>
      </c>
      <c r="B3" s="3" t="str">
        <f aca="false">[1]TRANSIENT!B$2</f>
        <v>Unit</v>
      </c>
      <c r="C3" s="3" t="str">
        <f aca="false">[1]TRANSIENT!C$2</f>
        <v>Variable type</v>
      </c>
      <c r="D3" s="3" t="str">
        <f aca="false">[1]TRANSIENT!D$2</f>
        <v>Note/comments</v>
      </c>
      <c r="E3" s="4" t="str">
        <f aca="false">_xlfn.TEXTJOIN("_",,$A$1,E$1)</f>
        <v>CHAN_1</v>
      </c>
      <c r="F3" s="4" t="str">
        <f aca="false">_xlfn.TEXTJOIN("_",,$A$1,F$1)</f>
        <v>CHAN_2</v>
      </c>
    </row>
    <row r="4" customFormat="false" ht="15" hidden="false" customHeight="false" outlineLevel="0" collapsed="false">
      <c r="A4" s="1" t="s">
        <v>3</v>
      </c>
      <c r="B4" s="2" t="s">
        <v>4</v>
      </c>
      <c r="C4" s="2" t="s">
        <v>5</v>
      </c>
      <c r="D4" s="1" t="s">
        <v>6</v>
      </c>
      <c r="E4" s="8" t="n">
        <v>5.0265E-005</v>
      </c>
      <c r="F4" s="8" t="n">
        <v>0.00036965</v>
      </c>
    </row>
    <row r="5" customFormat="false" ht="15" hidden="false" customHeight="false" outlineLevel="0" collapsed="false">
      <c r="A5" s="1" t="s">
        <v>7</v>
      </c>
      <c r="B5" s="2" t="s">
        <v>8</v>
      </c>
      <c r="C5" s="2" t="s">
        <v>5</v>
      </c>
      <c r="D5" s="1" t="s">
        <v>9</v>
      </c>
      <c r="E5" s="8" t="n">
        <v>0</v>
      </c>
      <c r="F5" s="8" t="n">
        <v>0</v>
      </c>
    </row>
    <row r="6" customFormat="false" ht="15" hidden="false" customHeight="false" outlineLevel="0" collapsed="false">
      <c r="A6" s="1" t="s">
        <v>10</v>
      </c>
      <c r="B6" s="2" t="s">
        <v>8</v>
      </c>
      <c r="C6" s="2" t="s">
        <v>5</v>
      </c>
      <c r="D6" s="1" t="s">
        <v>11</v>
      </c>
      <c r="E6" s="8" t="n">
        <v>0</v>
      </c>
      <c r="F6" s="8" t="n">
        <v>0</v>
      </c>
    </row>
    <row r="7" customFormat="false" ht="15" hidden="false" customHeight="false" outlineLevel="0" collapsed="false">
      <c r="A7" s="1" t="s">
        <v>12</v>
      </c>
      <c r="B7" s="2" t="s">
        <v>13</v>
      </c>
      <c r="C7" s="2" t="s">
        <v>14</v>
      </c>
      <c r="D7" s="1" t="s">
        <v>15</v>
      </c>
      <c r="E7" s="2" t="s">
        <v>16</v>
      </c>
      <c r="F7" s="2" t="s">
        <v>16</v>
      </c>
    </row>
    <row r="8" customFormat="false" ht="15" hidden="false" customHeight="false" outlineLevel="0" collapsed="false">
      <c r="A8" s="1" t="s">
        <v>17</v>
      </c>
      <c r="B8" s="2" t="s">
        <v>8</v>
      </c>
      <c r="C8" s="2" t="s">
        <v>5</v>
      </c>
      <c r="D8" s="1" t="s">
        <v>18</v>
      </c>
      <c r="E8" s="9" t="n">
        <v>0.008</v>
      </c>
      <c r="F8" s="9" t="n">
        <v>0.00032676</v>
      </c>
    </row>
    <row r="9" customFormat="false" ht="15" hidden="false" customHeight="false" outlineLevel="0" collapsed="false">
      <c r="A9" s="1" t="s">
        <v>19</v>
      </c>
      <c r="B9" s="2" t="s">
        <v>8</v>
      </c>
      <c r="C9" s="2" t="s">
        <v>5</v>
      </c>
      <c r="D9" s="1" t="s">
        <v>20</v>
      </c>
      <c r="E9" s="9" t="n">
        <v>0</v>
      </c>
      <c r="F9" s="9" t="n">
        <v>0</v>
      </c>
    </row>
    <row r="10" customFormat="false" ht="15" hidden="false" customHeight="false" outlineLevel="0" collapsed="false">
      <c r="A10" s="1" t="s">
        <v>21</v>
      </c>
      <c r="B10" s="2" t="s">
        <v>13</v>
      </c>
      <c r="C10" s="2" t="s">
        <v>5</v>
      </c>
      <c r="D10" s="1" t="s">
        <v>22</v>
      </c>
      <c r="E10" s="2" t="n">
        <v>1</v>
      </c>
      <c r="F10" s="2" t="n">
        <v>1</v>
      </c>
    </row>
    <row r="11" customFormat="false" ht="15" hidden="false" customHeight="false" outlineLevel="0" collapsed="false">
      <c r="A11" s="1" t="s">
        <v>23</v>
      </c>
      <c r="B11" s="2" t="s">
        <v>13</v>
      </c>
      <c r="C11" s="2" t="s">
        <v>5</v>
      </c>
      <c r="D11" s="1" t="s">
        <v>24</v>
      </c>
      <c r="E11" s="2" t="n">
        <v>1</v>
      </c>
      <c r="F11" s="2" t="n">
        <v>0.313</v>
      </c>
    </row>
    <row r="12" customFormat="false" ht="15" hidden="false" customHeight="false" outlineLevel="0" collapsed="false">
      <c r="A12" s="1" t="s">
        <v>25</v>
      </c>
      <c r="B12" s="2" t="s">
        <v>13</v>
      </c>
      <c r="C12" s="2" t="s">
        <v>26</v>
      </c>
      <c r="D12" s="1" t="s">
        <v>27</v>
      </c>
      <c r="E12" s="2" t="n">
        <v>-99</v>
      </c>
      <c r="F12" s="2" t="n">
        <v>-99</v>
      </c>
    </row>
    <row r="13" customFormat="false" ht="15" hidden="false" customHeight="false" outlineLevel="0" collapsed="false">
      <c r="A13" s="10" t="s">
        <v>28</v>
      </c>
      <c r="B13" s="2" t="s">
        <v>13</v>
      </c>
      <c r="C13" s="2" t="s">
        <v>5</v>
      </c>
      <c r="D13" s="1" t="s">
        <v>29</v>
      </c>
      <c r="E13" s="2" t="n">
        <v>0.02</v>
      </c>
      <c r="F13" s="2" t="n">
        <v>0.02</v>
      </c>
    </row>
    <row r="14" customFormat="false" ht="15" hidden="false" customHeight="false" outlineLevel="0" collapsed="false">
      <c r="A14" s="1" t="s">
        <v>30</v>
      </c>
      <c r="B14" s="2" t="s">
        <v>13</v>
      </c>
      <c r="C14" s="2" t="s">
        <v>31</v>
      </c>
      <c r="E14" s="11" t="b">
        <f aca="false">FALSE()</f>
        <v>0</v>
      </c>
      <c r="F14" s="11" t="b">
        <f aca="false">FALSE()</f>
        <v>0</v>
      </c>
    </row>
    <row r="15" customFormat="false" ht="15" hidden="false" customHeight="false" outlineLevel="0" collapsed="false">
      <c r="A15" s="1" t="s">
        <v>32</v>
      </c>
      <c r="B15" s="2" t="s">
        <v>8</v>
      </c>
      <c r="C15" s="2" t="s">
        <v>5</v>
      </c>
      <c r="E15" s="8" t="n">
        <v>0</v>
      </c>
      <c r="F15" s="2" t="n">
        <v>0</v>
      </c>
    </row>
    <row r="16" customFormat="false" ht="15" hidden="false" customHeight="true" outlineLevel="0" collapsed="false">
      <c r="A16" s="1" t="s">
        <v>33</v>
      </c>
      <c r="B16" s="2" t="s">
        <v>8</v>
      </c>
      <c r="C16" s="2" t="s">
        <v>5</v>
      </c>
      <c r="E16" s="8" t="n">
        <v>0</v>
      </c>
      <c r="F16" s="2" t="n">
        <v>0</v>
      </c>
    </row>
    <row r="17" customFormat="false" ht="15" hidden="false" customHeight="false" outlineLevel="0" collapsed="false">
      <c r="A17" s="1" t="s">
        <v>34</v>
      </c>
      <c r="B17" s="2" t="s">
        <v>13</v>
      </c>
      <c r="C17" s="2" t="s">
        <v>14</v>
      </c>
      <c r="D17" s="1" t="s">
        <v>35</v>
      </c>
      <c r="E17" s="2" t="s">
        <v>36</v>
      </c>
      <c r="F17" s="2" t="s">
        <v>37</v>
      </c>
    </row>
    <row r="18" customFormat="false" ht="15" hidden="false" customHeight="false" outlineLevel="0" collapsed="false">
      <c r="A18" s="1" t="s">
        <v>38</v>
      </c>
      <c r="B18" s="2" t="s">
        <v>13</v>
      </c>
      <c r="C18" s="2" t="s">
        <v>26</v>
      </c>
      <c r="D18" s="1" t="s">
        <v>39</v>
      </c>
      <c r="E18" s="2" t="n">
        <v>1</v>
      </c>
      <c r="F18" s="2" t="n">
        <v>1</v>
      </c>
    </row>
    <row r="19" customFormat="false" ht="15" hidden="false" customHeight="false" outlineLevel="0" collapsed="false">
      <c r="A19" s="1" t="s">
        <v>40</v>
      </c>
      <c r="B19" s="2" t="s">
        <v>13</v>
      </c>
      <c r="C19" s="2" t="s">
        <v>31</v>
      </c>
      <c r="D19" s="1" t="s">
        <v>41</v>
      </c>
      <c r="E19" s="11" t="b">
        <f aca="false">FALSE()</f>
        <v>0</v>
      </c>
      <c r="F19" s="11" t="b">
        <f aca="false">FALSE()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2" activeCellId="0" sqref="D2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2" width="7.43"/>
    <col collapsed="false" customWidth="true" hidden="false" outlineLevel="0" max="3" min="3" style="2" width="12.14"/>
    <col collapsed="false" customWidth="true" hidden="false" outlineLevel="0" max="4" min="4" style="1" width="67.14"/>
    <col collapsed="false" customWidth="true" hidden="false" outlineLevel="0" max="5" min="5" style="2" width="9.43"/>
    <col collapsed="false" customWidth="false" hidden="false" outlineLevel="0" max="16384" min="6" style="1" width="8.86"/>
  </cols>
  <sheetData>
    <row r="1" customFormat="false" ht="15" hidden="false" customHeight="false" outlineLevel="0" collapsed="false">
      <c r="A1" s="3" t="s">
        <v>42</v>
      </c>
      <c r="B1" s="4" t="n">
        <f aca="false">SUM(E$2:Z2)</f>
        <v>0</v>
      </c>
      <c r="C1" s="5"/>
      <c r="D1" s="1" t="s">
        <v>43</v>
      </c>
      <c r="E1" s="5" t="n">
        <v>0</v>
      </c>
    </row>
    <row r="2" customFormat="false" ht="30" hidden="false" customHeight="false" outlineLevel="0" collapsed="false">
      <c r="A2" s="6"/>
      <c r="B2" s="5"/>
      <c r="C2" s="5"/>
      <c r="D2" s="7" t="s">
        <v>44</v>
      </c>
      <c r="E2" s="4" t="n">
        <f aca="false">IF(E$1 &gt; 0,1,0)</f>
        <v>0</v>
      </c>
    </row>
    <row r="3" customFormat="false" ht="15" hidden="false" customHeight="false" outlineLevel="0" collapsed="false">
      <c r="A3" s="3" t="str">
        <f aca="false">CHAN!A3</f>
        <v>Variable name</v>
      </c>
      <c r="B3" s="3" t="str">
        <f aca="false">CHAN!B3</f>
        <v>Unit</v>
      </c>
      <c r="C3" s="3" t="str">
        <f aca="false">CHAN!C3</f>
        <v>Variable type</v>
      </c>
      <c r="D3" s="3" t="str">
        <f aca="false">CHAN!D3</f>
        <v>Note/comments</v>
      </c>
      <c r="E3" s="4" t="str">
        <f aca="false">_xlfn.TEXTJOIN("_",,$A$1,E$1)</f>
        <v>STACK_0</v>
      </c>
    </row>
    <row r="4" customFormat="false" ht="15" hidden="false" customHeight="false" outlineLevel="0" collapsed="false">
      <c r="A4" s="10" t="s">
        <v>3</v>
      </c>
      <c r="B4" s="2" t="s">
        <v>4</v>
      </c>
      <c r="C4" s="2" t="s">
        <v>5</v>
      </c>
      <c r="D4" s="10" t="s">
        <v>6</v>
      </c>
      <c r="E4" s="12" t="n">
        <v>0</v>
      </c>
    </row>
    <row r="5" customFormat="false" ht="15" hidden="false" customHeight="false" outlineLevel="0" collapsed="false">
      <c r="A5" s="10" t="s">
        <v>7</v>
      </c>
      <c r="B5" s="2" t="s">
        <v>8</v>
      </c>
      <c r="C5" s="2" t="s">
        <v>5</v>
      </c>
      <c r="D5" s="10" t="s">
        <v>9</v>
      </c>
      <c r="E5" s="8" t="n">
        <v>0</v>
      </c>
    </row>
    <row r="6" customFormat="false" ht="13.5" hidden="false" customHeight="true" outlineLevel="0" collapsed="false">
      <c r="A6" s="10" t="s">
        <v>10</v>
      </c>
      <c r="B6" s="2" t="s">
        <v>8</v>
      </c>
      <c r="C6" s="2" t="s">
        <v>5</v>
      </c>
      <c r="D6" s="10" t="s">
        <v>11</v>
      </c>
      <c r="E6" s="8" t="n">
        <v>0</v>
      </c>
    </row>
    <row r="7" customFormat="false" ht="15" hidden="false" customHeight="false" outlineLevel="0" collapsed="false">
      <c r="A7" s="10" t="s">
        <v>21</v>
      </c>
      <c r="B7" s="2" t="s">
        <v>13</v>
      </c>
      <c r="C7" s="2" t="s">
        <v>5</v>
      </c>
      <c r="D7" s="10" t="s">
        <v>22</v>
      </c>
      <c r="E7" s="9" t="n">
        <v>0.9699</v>
      </c>
    </row>
    <row r="8" customFormat="false" ht="15" hidden="false" customHeight="false" outlineLevel="0" collapsed="false">
      <c r="A8" s="10" t="s">
        <v>45</v>
      </c>
      <c r="B8" s="2" t="s">
        <v>13</v>
      </c>
      <c r="C8" s="2" t="s">
        <v>46</v>
      </c>
      <c r="D8" s="10" t="s">
        <v>47</v>
      </c>
      <c r="E8" s="9" t="n">
        <v>1</v>
      </c>
    </row>
    <row r="9" customFormat="false" ht="15" hidden="false" customHeight="false" outlineLevel="0" collapsed="false">
      <c r="A9" s="10" t="s">
        <v>48</v>
      </c>
      <c r="B9" s="2" t="s">
        <v>8</v>
      </c>
      <c r="C9" s="2" t="s">
        <v>5</v>
      </c>
      <c r="D9" s="10" t="s">
        <v>49</v>
      </c>
      <c r="E9" s="9"/>
    </row>
    <row r="10" customFormat="false" ht="15" hidden="false" customHeight="false" outlineLevel="0" collapsed="false">
      <c r="A10" s="10" t="s">
        <v>50</v>
      </c>
      <c r="B10" s="2" t="s">
        <v>8</v>
      </c>
      <c r="C10" s="2" t="s">
        <v>5</v>
      </c>
      <c r="D10" s="10" t="s">
        <v>51</v>
      </c>
      <c r="E10" s="9"/>
    </row>
    <row r="11" customFormat="false" ht="15" hidden="false" customHeight="false" outlineLevel="0" collapsed="false">
      <c r="A11" s="10" t="s">
        <v>52</v>
      </c>
      <c r="B11" s="2" t="s">
        <v>8</v>
      </c>
      <c r="C11" s="2" t="s">
        <v>5</v>
      </c>
      <c r="D11" s="10" t="s">
        <v>53</v>
      </c>
      <c r="E11" s="9"/>
    </row>
    <row r="12" customFormat="false" ht="15" hidden="false" customHeight="false" outlineLevel="0" collapsed="false">
      <c r="A12" s="10" t="s">
        <v>54</v>
      </c>
      <c r="B12" s="2" t="s">
        <v>8</v>
      </c>
      <c r="C12" s="2" t="s">
        <v>5</v>
      </c>
      <c r="D12" s="10" t="s">
        <v>55</v>
      </c>
      <c r="E12" s="9"/>
    </row>
    <row r="13" customFormat="false" ht="15" hidden="false" customHeight="false" outlineLevel="0" collapsed="false">
      <c r="A13" s="10" t="s">
        <v>56</v>
      </c>
      <c r="B13" s="2" t="s">
        <v>8</v>
      </c>
      <c r="C13" s="2" t="s">
        <v>5</v>
      </c>
      <c r="D13" s="10" t="s">
        <v>57</v>
      </c>
      <c r="E13" s="9"/>
    </row>
    <row r="14" customFormat="false" ht="15" hidden="false" customHeight="false" outlineLevel="0" collapsed="false">
      <c r="A14" s="10" t="s">
        <v>58</v>
      </c>
      <c r="B14" s="2" t="s">
        <v>8</v>
      </c>
      <c r="C14" s="2" t="s">
        <v>5</v>
      </c>
      <c r="D14" s="10" t="s">
        <v>59</v>
      </c>
      <c r="E14" s="9"/>
    </row>
    <row r="15" customFormat="false" ht="15" hidden="false" customHeight="false" outlineLevel="0" collapsed="false">
      <c r="A15" s="10" t="s">
        <v>60</v>
      </c>
      <c r="B15" s="2" t="s">
        <v>13</v>
      </c>
      <c r="C15" s="2" t="s">
        <v>46</v>
      </c>
      <c r="D15" s="10" t="s">
        <v>61</v>
      </c>
      <c r="E15" s="9"/>
    </row>
    <row r="16" customFormat="false" ht="15" hidden="false" customHeight="false" outlineLevel="0" collapsed="false">
      <c r="A16" s="10" t="s">
        <v>62</v>
      </c>
      <c r="B16" s="2" t="s">
        <v>13</v>
      </c>
      <c r="C16" s="2" t="s">
        <v>14</v>
      </c>
      <c r="D16" s="10" t="s">
        <v>63</v>
      </c>
      <c r="E16" s="9"/>
    </row>
    <row r="17" customFormat="false" ht="15" hidden="false" customHeight="false" outlineLevel="0" collapsed="false">
      <c r="A17" s="10" t="s">
        <v>64</v>
      </c>
      <c r="B17" s="2" t="s">
        <v>13</v>
      </c>
      <c r="C17" s="2" t="s">
        <v>14</v>
      </c>
      <c r="D17" s="10" t="s">
        <v>65</v>
      </c>
      <c r="E17" s="9"/>
    </row>
    <row r="18" customFormat="false" ht="30" hidden="false" customHeight="false" outlineLevel="0" collapsed="false">
      <c r="A18" s="10" t="s">
        <v>66</v>
      </c>
      <c r="B18" s="2" t="s">
        <v>13</v>
      </c>
      <c r="C18" s="2" t="s">
        <v>14</v>
      </c>
      <c r="D18" s="13" t="s">
        <v>67</v>
      </c>
      <c r="E18" s="9"/>
    </row>
    <row r="19" customFormat="false" ht="15" hidden="false" customHeight="false" outlineLevel="0" collapsed="false">
      <c r="A19" s="10" t="s">
        <v>68</v>
      </c>
      <c r="B19" s="2" t="s">
        <v>13</v>
      </c>
      <c r="C19" s="2" t="s">
        <v>14</v>
      </c>
      <c r="D19" s="10" t="s">
        <v>69</v>
      </c>
      <c r="E19" s="9"/>
    </row>
    <row r="20" customFormat="false" ht="15" hidden="false" customHeight="false" outlineLevel="0" collapsed="false">
      <c r="A20" s="10" t="s">
        <v>70</v>
      </c>
      <c r="B20" s="2" t="s">
        <v>13</v>
      </c>
      <c r="C20" s="2" t="s">
        <v>14</v>
      </c>
      <c r="D20" s="10" t="s">
        <v>71</v>
      </c>
      <c r="E20" s="9"/>
    </row>
    <row r="21" customFormat="false" ht="15" hidden="false" customHeight="false" outlineLevel="0" collapsed="false">
      <c r="A21" s="10" t="s">
        <v>72</v>
      </c>
      <c r="B21" s="2" t="s">
        <v>73</v>
      </c>
      <c r="C21" s="2" t="s">
        <v>5</v>
      </c>
      <c r="D21" s="10" t="s">
        <v>74</v>
      </c>
      <c r="E21" s="8" t="n">
        <v>170360000000000</v>
      </c>
    </row>
    <row r="22" customFormat="false" ht="15" hidden="false" customHeight="false" outlineLevel="0" collapsed="false">
      <c r="A22" s="10" t="s">
        <v>75</v>
      </c>
      <c r="B22" s="2" t="s">
        <v>76</v>
      </c>
      <c r="C22" s="2" t="s">
        <v>5</v>
      </c>
      <c r="D22" s="10" t="s">
        <v>74</v>
      </c>
      <c r="E22" s="2" t="n">
        <v>30.23</v>
      </c>
    </row>
    <row r="23" customFormat="false" ht="15" hidden="false" customHeight="false" outlineLevel="0" collapsed="false">
      <c r="A23" s="10" t="s">
        <v>77</v>
      </c>
      <c r="B23" s="2" t="s">
        <v>78</v>
      </c>
      <c r="C23" s="2" t="s">
        <v>5</v>
      </c>
      <c r="D23" s="10" t="s">
        <v>74</v>
      </c>
      <c r="E23" s="2" t="n">
        <v>16.73</v>
      </c>
    </row>
    <row r="24" customFormat="false" ht="15" hidden="false" customHeight="false" outlineLevel="0" collapsed="false">
      <c r="A24" s="10" t="s">
        <v>79</v>
      </c>
      <c r="B24" s="2" t="s">
        <v>13</v>
      </c>
      <c r="C24" s="2" t="s">
        <v>46</v>
      </c>
      <c r="D24" s="10" t="s">
        <v>80</v>
      </c>
      <c r="E24" s="2" t="n">
        <v>20</v>
      </c>
    </row>
    <row r="25" customFormat="false" ht="15" hidden="false" customHeight="false" outlineLevel="0" collapsed="false">
      <c r="A25" s="10" t="s">
        <v>81</v>
      </c>
      <c r="B25" s="2" t="s">
        <v>82</v>
      </c>
      <c r="C25" s="2" t="s">
        <v>5</v>
      </c>
      <c r="D25" s="10" t="s">
        <v>83</v>
      </c>
      <c r="E25" s="2" t="n">
        <f aca="false">10^-5</f>
        <v>1E-005</v>
      </c>
    </row>
    <row r="26" customFormat="false" ht="15" hidden="false" customHeight="false" outlineLevel="0" collapsed="false">
      <c r="A26" s="10" t="s">
        <v>40</v>
      </c>
      <c r="B26" s="2" t="s">
        <v>13</v>
      </c>
      <c r="C26" s="2" t="s">
        <v>31</v>
      </c>
      <c r="D26" s="10" t="s">
        <v>84</v>
      </c>
      <c r="E26" s="1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25" activeCellId="0" sqref="E25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2" width="7.43"/>
    <col collapsed="false" customWidth="true" hidden="false" outlineLevel="0" max="3" min="3" style="2" width="12.14"/>
    <col collapsed="false" customWidth="true" hidden="false" outlineLevel="0" max="4" min="4" style="1" width="67.14"/>
    <col collapsed="false" customWidth="true" hidden="false" outlineLevel="0" max="5" min="5" style="2" width="11"/>
    <col collapsed="false" customWidth="false" hidden="false" outlineLevel="0" max="16384" min="6" style="1" width="8.86"/>
  </cols>
  <sheetData>
    <row r="1" customFormat="false" ht="15" hidden="false" customHeight="false" outlineLevel="0" collapsed="false">
      <c r="A1" s="3" t="s">
        <v>85</v>
      </c>
      <c r="B1" s="4" t="n">
        <f aca="false">SUM(E$2:Z2)</f>
        <v>1</v>
      </c>
      <c r="C1" s="5"/>
      <c r="D1" s="1" t="s">
        <v>86</v>
      </c>
      <c r="E1" s="5" t="n">
        <v>1</v>
      </c>
    </row>
    <row r="2" customFormat="false" ht="45" hidden="false" customHeight="false" outlineLevel="0" collapsed="false">
      <c r="A2" s="6"/>
      <c r="B2" s="5"/>
      <c r="C2" s="5"/>
      <c r="D2" s="7" t="s">
        <v>87</v>
      </c>
      <c r="E2" s="4" t="n">
        <f aca="false">IF(E$1 &gt; 0,1,0)</f>
        <v>1</v>
      </c>
    </row>
    <row r="3" customFormat="false" ht="15" hidden="false" customHeight="false" outlineLevel="0" collapsed="false">
      <c r="A3" s="3" t="str">
        <f aca="false">CHAN!A3</f>
        <v>Variable name</v>
      </c>
      <c r="B3" s="3" t="str">
        <f aca="false">CHAN!B3</f>
        <v>Unit</v>
      </c>
      <c r="C3" s="3" t="str">
        <f aca="false">CHAN!C3</f>
        <v>Variable type</v>
      </c>
      <c r="D3" s="3" t="str">
        <f aca="false">CHAN!D3</f>
        <v>Note/comments</v>
      </c>
      <c r="E3" s="4" t="str">
        <f aca="false">_xlfn.TEXTJOIN("_",,$A$1,E$1)</f>
        <v>STR_MIX_1</v>
      </c>
    </row>
    <row r="4" customFormat="false" ht="15" hidden="false" customHeight="false" outlineLevel="0" collapsed="false">
      <c r="A4" s="1" t="s">
        <v>3</v>
      </c>
      <c r="B4" s="2" t="s">
        <v>4</v>
      </c>
      <c r="C4" s="2" t="s">
        <v>5</v>
      </c>
      <c r="D4" s="1" t="s">
        <v>88</v>
      </c>
      <c r="E4" s="8" t="n">
        <f aca="false">(0.00052534+0.00025201)*E7</f>
        <v>0.000753951765</v>
      </c>
    </row>
    <row r="5" customFormat="false" ht="15" hidden="false" customHeight="false" outlineLevel="0" collapsed="false">
      <c r="A5" s="1" t="s">
        <v>7</v>
      </c>
      <c r="B5" s="2" t="s">
        <v>8</v>
      </c>
      <c r="C5" s="2" t="s">
        <v>5</v>
      </c>
      <c r="D5" s="1" t="s">
        <v>89</v>
      </c>
      <c r="E5" s="8" t="n">
        <v>0</v>
      </c>
    </row>
    <row r="6" customFormat="false" ht="15" hidden="false" customHeight="false" outlineLevel="0" collapsed="false">
      <c r="A6" s="1" t="s">
        <v>10</v>
      </c>
      <c r="B6" s="2" t="s">
        <v>8</v>
      </c>
      <c r="C6" s="2" t="s">
        <v>5</v>
      </c>
      <c r="D6" s="1" t="s">
        <v>90</v>
      </c>
      <c r="E6" s="8" t="n">
        <v>0</v>
      </c>
    </row>
    <row r="7" customFormat="false" ht="15" hidden="false" customHeight="false" outlineLevel="0" collapsed="false">
      <c r="A7" s="1" t="s">
        <v>21</v>
      </c>
      <c r="B7" s="2" t="s">
        <v>13</v>
      </c>
      <c r="C7" s="2" t="s">
        <v>5</v>
      </c>
      <c r="D7" s="1" t="s">
        <v>22</v>
      </c>
      <c r="E7" s="9" t="n">
        <v>0.9699</v>
      </c>
    </row>
    <row r="8" customFormat="false" ht="45" hidden="false" customHeight="false" outlineLevel="0" collapsed="false">
      <c r="A8" s="10" t="s">
        <v>91</v>
      </c>
      <c r="B8" s="2" t="s">
        <v>13</v>
      </c>
      <c r="C8" s="2" t="s">
        <v>26</v>
      </c>
      <c r="D8" s="7" t="s">
        <v>92</v>
      </c>
      <c r="E8" s="2" t="n">
        <v>1</v>
      </c>
    </row>
    <row r="9" customFormat="false" ht="15" hidden="false" customHeight="false" outlineLevel="0" collapsed="false">
      <c r="A9" s="1" t="s">
        <v>93</v>
      </c>
      <c r="B9" s="2" t="s">
        <v>13</v>
      </c>
      <c r="C9" s="2" t="s">
        <v>5</v>
      </c>
      <c r="D9" s="1" t="s">
        <v>94</v>
      </c>
      <c r="E9" s="9" t="n">
        <v>2.0846</v>
      </c>
    </row>
    <row r="10" customFormat="false" ht="15" hidden="false" customHeight="false" outlineLevel="0" collapsed="false">
      <c r="A10" s="1" t="s">
        <v>95</v>
      </c>
      <c r="B10" s="2" t="s">
        <v>13</v>
      </c>
      <c r="C10" s="2" t="s">
        <v>26</v>
      </c>
      <c r="D10" s="1" t="s">
        <v>96</v>
      </c>
      <c r="E10" s="14" t="n">
        <v>2</v>
      </c>
    </row>
    <row r="11" customFormat="false" ht="15" hidden="false" customHeight="false" outlineLevel="0" collapsed="false">
      <c r="A11" s="1" t="s">
        <v>97</v>
      </c>
      <c r="B11" s="2" t="s">
        <v>13</v>
      </c>
      <c r="C11" s="2" t="s">
        <v>26</v>
      </c>
      <c r="D11" s="1" t="s">
        <v>98</v>
      </c>
      <c r="E11" s="2" t="n">
        <v>900</v>
      </c>
    </row>
    <row r="12" customFormat="false" ht="15" hidden="false" customHeight="false" outlineLevel="0" collapsed="false">
      <c r="A12" s="1" t="s">
        <v>99</v>
      </c>
      <c r="B12" s="2" t="s">
        <v>8</v>
      </c>
      <c r="C12" s="2" t="s">
        <v>5</v>
      </c>
      <c r="D12" s="1" t="s">
        <v>100</v>
      </c>
      <c r="E12" s="2" t="n">
        <f aca="false">0.000822</f>
        <v>0.000822</v>
      </c>
    </row>
    <row r="13" customFormat="false" ht="15" hidden="false" customHeight="false" outlineLevel="0" collapsed="false">
      <c r="A13" s="1" t="s">
        <v>101</v>
      </c>
      <c r="B13" s="2" t="s">
        <v>13</v>
      </c>
      <c r="C13" s="2" t="s">
        <v>26</v>
      </c>
      <c r="D13" s="1" t="s">
        <v>102</v>
      </c>
      <c r="E13" s="2" t="n">
        <v>522</v>
      </c>
    </row>
    <row r="14" customFormat="false" ht="15" hidden="false" customHeight="false" outlineLevel="0" collapsed="false">
      <c r="A14" s="1" t="s">
        <v>103</v>
      </c>
      <c r="B14" s="2" t="s">
        <v>8</v>
      </c>
      <c r="C14" s="2" t="s">
        <v>5</v>
      </c>
      <c r="D14" s="1" t="s">
        <v>104</v>
      </c>
      <c r="E14" s="2" t="n">
        <f aca="false">0.000821</f>
        <v>0.000821</v>
      </c>
    </row>
    <row r="15" customFormat="false" ht="15" hidden="false" customHeight="false" outlineLevel="0" collapsed="false">
      <c r="A15" s="1" t="s">
        <v>105</v>
      </c>
      <c r="B15" s="2" t="s">
        <v>13</v>
      </c>
      <c r="C15" s="2" t="s">
        <v>14</v>
      </c>
      <c r="D15" s="1" t="s">
        <v>106</v>
      </c>
      <c r="E15" s="2" t="s">
        <v>107</v>
      </c>
    </row>
    <row r="16" customFormat="false" ht="15" hidden="false" customHeight="false" outlineLevel="0" collapsed="false">
      <c r="A16" s="1" t="s">
        <v>108</v>
      </c>
      <c r="B16" s="2" t="s">
        <v>13</v>
      </c>
      <c r="C16" s="2" t="s">
        <v>5</v>
      </c>
      <c r="D16" s="1" t="s">
        <v>109</v>
      </c>
      <c r="E16" s="14" t="n">
        <v>197.71</v>
      </c>
    </row>
    <row r="17" customFormat="false" ht="15" hidden="false" customHeight="false" outlineLevel="0" collapsed="false">
      <c r="A17" s="1" t="s">
        <v>110</v>
      </c>
      <c r="B17" s="2" t="s">
        <v>13</v>
      </c>
      <c r="C17" s="2" t="s">
        <v>14</v>
      </c>
      <c r="D17" s="1" t="s">
        <v>111</v>
      </c>
      <c r="E17" s="2" t="s">
        <v>112</v>
      </c>
    </row>
    <row r="18" customFormat="false" ht="15" hidden="false" customHeight="false" outlineLevel="0" collapsed="false">
      <c r="A18" s="1" t="s">
        <v>113</v>
      </c>
      <c r="B18" s="2" t="s">
        <v>13</v>
      </c>
      <c r="C18" s="2" t="s">
        <v>26</v>
      </c>
      <c r="D18" s="1" t="s">
        <v>114</v>
      </c>
      <c r="E18" s="2" t="n">
        <v>0</v>
      </c>
    </row>
    <row r="19" customFormat="false" ht="15" hidden="false" customHeight="false" outlineLevel="0" collapsed="false">
      <c r="A19" s="1" t="s">
        <v>72</v>
      </c>
      <c r="B19" s="2" t="s">
        <v>73</v>
      </c>
      <c r="C19" s="2" t="s">
        <v>5</v>
      </c>
      <c r="D19" s="1" t="s">
        <v>74</v>
      </c>
      <c r="E19" s="8" t="n">
        <v>121508000000</v>
      </c>
    </row>
    <row r="20" customFormat="false" ht="15" hidden="false" customHeight="false" outlineLevel="0" collapsed="false">
      <c r="A20" s="1" t="s">
        <v>75</v>
      </c>
      <c r="B20" s="2" t="s">
        <v>76</v>
      </c>
      <c r="C20" s="2" t="s">
        <v>5</v>
      </c>
      <c r="D20" s="1" t="s">
        <v>74</v>
      </c>
      <c r="E20" s="8" t="n">
        <v>32.35</v>
      </c>
    </row>
    <row r="21" customFormat="false" ht="15" hidden="false" customHeight="false" outlineLevel="0" collapsed="false">
      <c r="A21" s="1" t="s">
        <v>77</v>
      </c>
      <c r="B21" s="2" t="s">
        <v>78</v>
      </c>
      <c r="C21" s="2" t="s">
        <v>5</v>
      </c>
      <c r="D21" s="1" t="s">
        <v>74</v>
      </c>
      <c r="E21" s="8" t="n">
        <v>16.22</v>
      </c>
    </row>
    <row r="22" customFormat="false" ht="15" hidden="false" customHeight="false" outlineLevel="0" collapsed="false">
      <c r="A22" s="10" t="s">
        <v>79</v>
      </c>
      <c r="B22" s="2" t="s">
        <v>13</v>
      </c>
      <c r="C22" s="2" t="s">
        <v>46</v>
      </c>
      <c r="D22" s="10" t="s">
        <v>80</v>
      </c>
      <c r="E22" s="2" t="n">
        <v>5</v>
      </c>
    </row>
    <row r="23" customFormat="false" ht="15" hidden="false" customHeight="false" outlineLevel="0" collapsed="false">
      <c r="A23" s="10" t="s">
        <v>81</v>
      </c>
      <c r="B23" s="2" t="s">
        <v>82</v>
      </c>
      <c r="C23" s="2" t="s">
        <v>5</v>
      </c>
      <c r="D23" s="10" t="s">
        <v>83</v>
      </c>
      <c r="E23" s="2" t="n">
        <f aca="false">10^-5</f>
        <v>1E-005</v>
      </c>
    </row>
    <row r="24" customFormat="false" ht="15" hidden="false" customHeight="false" outlineLevel="0" collapsed="false">
      <c r="A24" s="1" t="s">
        <v>40</v>
      </c>
      <c r="B24" s="2" t="s">
        <v>13</v>
      </c>
      <c r="C24" s="2" t="s">
        <v>31</v>
      </c>
      <c r="D24" s="1" t="s">
        <v>84</v>
      </c>
      <c r="E24" s="15" t="n">
        <v>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8" activeCellId="0" sqref="A8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2" width="4.57"/>
    <col collapsed="false" customWidth="true" hidden="false" outlineLevel="0" max="3" min="3" style="2" width="12.14"/>
    <col collapsed="false" customWidth="true" hidden="false" outlineLevel="0" max="4" min="4" style="1" width="35.43"/>
    <col collapsed="false" customWidth="true" hidden="false" outlineLevel="0" max="5" min="5" style="2" width="11.43"/>
    <col collapsed="false" customWidth="false" hidden="false" outlineLevel="0" max="16384" min="6" style="1" width="8.86"/>
  </cols>
  <sheetData>
    <row r="1" customFormat="false" ht="15" hidden="false" customHeight="false" outlineLevel="0" collapsed="false">
      <c r="A1" s="3" t="s">
        <v>115</v>
      </c>
      <c r="B1" s="4" t="n">
        <f aca="false">SUM(E$2:Z2)</f>
        <v>0</v>
      </c>
      <c r="C1" s="5"/>
      <c r="D1" s="1" t="s">
        <v>116</v>
      </c>
      <c r="E1" s="5" t="n">
        <v>0</v>
      </c>
    </row>
    <row r="2" customFormat="false" ht="60" hidden="false" customHeight="false" outlineLevel="0" collapsed="false">
      <c r="A2" s="6"/>
      <c r="B2" s="5"/>
      <c r="C2" s="5"/>
      <c r="D2" s="13" t="s">
        <v>117</v>
      </c>
      <c r="E2" s="4" t="n">
        <f aca="false">IF(E$1 &gt; 0,1,0)</f>
        <v>0</v>
      </c>
    </row>
    <row r="3" customFormat="false" ht="15" hidden="false" customHeight="false" outlineLevel="0" collapsed="false">
      <c r="A3" s="3" t="str">
        <f aca="false">CHAN!A3</f>
        <v>Variable name</v>
      </c>
      <c r="B3" s="3" t="str">
        <f aca="false">CHAN!B3</f>
        <v>Unit</v>
      </c>
      <c r="C3" s="3" t="str">
        <f aca="false">CHAN!C3</f>
        <v>Variable type</v>
      </c>
      <c r="D3" s="3" t="str">
        <f aca="false">CHAN!D3</f>
        <v>Note/comments</v>
      </c>
      <c r="E3" s="4" t="str">
        <f aca="false">_xlfn.TEXTJOIN("_",,$A$1,E$1)</f>
        <v>STR_STAB_0</v>
      </c>
    </row>
    <row r="4" customFormat="false" ht="15" hidden="false" customHeight="false" outlineLevel="0" collapsed="false">
      <c r="A4" s="1" t="s">
        <v>3</v>
      </c>
      <c r="B4" s="2" t="s">
        <v>4</v>
      </c>
      <c r="C4" s="2" t="s">
        <v>5</v>
      </c>
      <c r="D4" s="1" t="s">
        <v>6</v>
      </c>
      <c r="E4" s="12" t="n">
        <v>0</v>
      </c>
    </row>
    <row r="5" customFormat="false" ht="15" hidden="false" customHeight="false" outlineLevel="0" collapsed="false">
      <c r="A5" s="1" t="s">
        <v>7</v>
      </c>
      <c r="B5" s="2" t="s">
        <v>8</v>
      </c>
      <c r="C5" s="2" t="s">
        <v>5</v>
      </c>
      <c r="D5" s="1" t="s">
        <v>9</v>
      </c>
      <c r="E5" s="8" t="n">
        <v>0</v>
      </c>
    </row>
    <row r="6" customFormat="false" ht="15" hidden="false" customHeight="false" outlineLevel="0" collapsed="false">
      <c r="A6" s="1" t="s">
        <v>10</v>
      </c>
      <c r="B6" s="2" t="s">
        <v>8</v>
      </c>
      <c r="C6" s="2" t="s">
        <v>5</v>
      </c>
      <c r="D6" s="1" t="s">
        <v>11</v>
      </c>
      <c r="E6" s="8" t="n">
        <v>0</v>
      </c>
    </row>
    <row r="7" customFormat="false" ht="15" hidden="false" customHeight="false" outlineLevel="0" collapsed="false">
      <c r="A7" s="1" t="s">
        <v>21</v>
      </c>
      <c r="B7" s="2" t="s">
        <v>13</v>
      </c>
      <c r="C7" s="2" t="s">
        <v>5</v>
      </c>
      <c r="D7" s="1" t="s">
        <v>22</v>
      </c>
      <c r="E7" s="9" t="n">
        <v>0.9699</v>
      </c>
    </row>
    <row r="8" customFormat="false" ht="15" hidden="false" customHeight="false" outlineLevel="0" collapsed="false">
      <c r="A8" s="1" t="s">
        <v>105</v>
      </c>
      <c r="B8" s="2" t="s">
        <v>13</v>
      </c>
      <c r="C8" s="2" t="s">
        <v>14</v>
      </c>
      <c r="D8" s="1" t="s">
        <v>106</v>
      </c>
      <c r="E8" s="14" t="s">
        <v>107</v>
      </c>
    </row>
    <row r="9" customFormat="false" ht="15" hidden="false" customHeight="false" outlineLevel="0" collapsed="false">
      <c r="A9" s="1" t="s">
        <v>108</v>
      </c>
      <c r="B9" s="2" t="s">
        <v>13</v>
      </c>
      <c r="C9" s="2" t="s">
        <v>5</v>
      </c>
      <c r="D9" s="1" t="s">
        <v>109</v>
      </c>
      <c r="E9" s="16" t="n">
        <v>100</v>
      </c>
    </row>
    <row r="10" customFormat="false" ht="15" hidden="false" customHeight="false" outlineLevel="0" collapsed="false">
      <c r="A10" s="1" t="s">
        <v>40</v>
      </c>
      <c r="B10" s="2" t="s">
        <v>13</v>
      </c>
      <c r="C10" s="2" t="s">
        <v>31</v>
      </c>
      <c r="D10" s="1" t="s">
        <v>84</v>
      </c>
      <c r="E10" s="11" t="b">
        <f aca="false">TRUE()</f>
        <v>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H21" activeCellId="0" sqref="H21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2" width="4.57"/>
    <col collapsed="false" customWidth="true" hidden="false" outlineLevel="0" max="3" min="3" style="2" width="12.14"/>
    <col collapsed="false" customWidth="true" hidden="false" outlineLevel="0" max="4" min="4" style="1" width="37.43"/>
    <col collapsed="false" customWidth="true" hidden="false" outlineLevel="0" max="5" min="5" style="2" width="12.86"/>
    <col collapsed="false" customWidth="false" hidden="false" outlineLevel="0" max="16384" min="6" style="1" width="8.86"/>
  </cols>
  <sheetData>
    <row r="1" customFormat="false" ht="15" hidden="false" customHeight="false" outlineLevel="0" collapsed="false">
      <c r="A1" s="3" t="s">
        <v>118</v>
      </c>
      <c r="B1" s="4" t="n">
        <f aca="false">SUM(E$2:Z2)</f>
        <v>1</v>
      </c>
      <c r="C1" s="5"/>
      <c r="D1" s="1" t="s">
        <v>119</v>
      </c>
      <c r="E1" s="5" t="n">
        <v>1</v>
      </c>
    </row>
    <row r="2" customFormat="false" ht="45" hidden="false" customHeight="false" outlineLevel="0" collapsed="false">
      <c r="A2" s="6"/>
      <c r="B2" s="5"/>
      <c r="C2" s="5"/>
      <c r="D2" s="7" t="s">
        <v>120</v>
      </c>
      <c r="E2" s="4" t="n">
        <f aca="false">IF(E$1 &gt; 0,1,0)</f>
        <v>1</v>
      </c>
    </row>
    <row r="3" customFormat="false" ht="15" hidden="false" customHeight="false" outlineLevel="0" collapsed="false">
      <c r="A3" s="3" t="str">
        <f aca="false">CHAN!A3</f>
        <v>Variable name</v>
      </c>
      <c r="B3" s="3" t="str">
        <f aca="false">CHAN!B3</f>
        <v>Unit</v>
      </c>
      <c r="C3" s="3" t="str">
        <f aca="false">CHAN!C3</f>
        <v>Variable type</v>
      </c>
      <c r="D3" s="3" t="str">
        <f aca="false">CHAN!D3</f>
        <v>Note/comments</v>
      </c>
      <c r="E3" s="4" t="str">
        <f aca="false">_xlfn.TEXTJOIN("_",,$A$1,E$1)</f>
        <v>Z_JACKET_1</v>
      </c>
    </row>
    <row r="4" customFormat="false" ht="15" hidden="false" customHeight="false" outlineLevel="0" collapsed="false">
      <c r="A4" s="1" t="s">
        <v>121</v>
      </c>
      <c r="B4" s="2" t="s">
        <v>4</v>
      </c>
      <c r="C4" s="2" t="s">
        <v>5</v>
      </c>
      <c r="D4" s="1" t="s">
        <v>122</v>
      </c>
      <c r="E4" s="8" t="n">
        <f aca="false">0.00030699</f>
        <v>0.00030699</v>
      </c>
    </row>
    <row r="5" customFormat="false" ht="15" hidden="false" customHeight="false" outlineLevel="0" collapsed="false">
      <c r="A5" s="1" t="s">
        <v>123</v>
      </c>
      <c r="B5" s="2" t="s">
        <v>4</v>
      </c>
      <c r="C5" s="2" t="s">
        <v>5</v>
      </c>
      <c r="D5" s="1" t="s">
        <v>124</v>
      </c>
      <c r="E5" s="8" t="n">
        <v>0.00027966</v>
      </c>
    </row>
    <row r="6" customFormat="false" ht="15" hidden="false" customHeight="false" outlineLevel="0" collapsed="false">
      <c r="A6" s="1" t="s">
        <v>7</v>
      </c>
      <c r="B6" s="2" t="s">
        <v>8</v>
      </c>
      <c r="C6" s="2" t="s">
        <v>5</v>
      </c>
      <c r="D6" s="1" t="s">
        <v>9</v>
      </c>
      <c r="E6" s="8" t="n">
        <v>0</v>
      </c>
    </row>
    <row r="7" customFormat="false" ht="15" hidden="false" customHeight="false" outlineLevel="0" collapsed="false">
      <c r="A7" s="1" t="s">
        <v>10</v>
      </c>
      <c r="B7" s="2" t="s">
        <v>8</v>
      </c>
      <c r="C7" s="2" t="s">
        <v>5</v>
      </c>
      <c r="D7" s="1" t="s">
        <v>125</v>
      </c>
      <c r="E7" s="8" t="n">
        <v>0</v>
      </c>
    </row>
    <row r="8" customFormat="false" ht="15" hidden="false" customHeight="false" outlineLevel="0" collapsed="false">
      <c r="A8" s="1" t="s">
        <v>126</v>
      </c>
      <c r="B8" s="2" t="s">
        <v>8</v>
      </c>
      <c r="C8" s="2" t="s">
        <v>5</v>
      </c>
      <c r="D8" s="1" t="s">
        <v>127</v>
      </c>
      <c r="E8" s="8" t="n">
        <v>0.1288</v>
      </c>
    </row>
    <row r="9" customFormat="false" ht="15" hidden="false" customHeight="false" outlineLevel="0" collapsed="false">
      <c r="A9" s="1" t="s">
        <v>128</v>
      </c>
      <c r="B9" s="2" t="s">
        <v>8</v>
      </c>
      <c r="C9" s="2" t="s">
        <v>5</v>
      </c>
      <c r="D9" s="1" t="s">
        <v>129</v>
      </c>
      <c r="E9" s="8" t="n">
        <v>0.1357</v>
      </c>
    </row>
    <row r="10" customFormat="false" ht="15" hidden="false" customHeight="false" outlineLevel="0" collapsed="false">
      <c r="A10" s="1" t="s">
        <v>95</v>
      </c>
      <c r="B10" s="2" t="s">
        <v>13</v>
      </c>
      <c r="C10" s="2" t="s">
        <v>26</v>
      </c>
      <c r="D10" s="1" t="s">
        <v>130</v>
      </c>
      <c r="E10" s="16" t="n">
        <v>2</v>
      </c>
    </row>
    <row r="11" customFormat="false" ht="30" hidden="false" customHeight="false" outlineLevel="0" collapsed="false">
      <c r="A11" s="10" t="s">
        <v>131</v>
      </c>
      <c r="B11" s="2" t="s">
        <v>13</v>
      </c>
      <c r="C11" s="2" t="s">
        <v>14</v>
      </c>
      <c r="D11" s="7" t="s">
        <v>132</v>
      </c>
      <c r="E11" s="16" t="s">
        <v>133</v>
      </c>
    </row>
    <row r="12" customFormat="false" ht="15" hidden="false" customHeight="false" outlineLevel="0" collapsed="false">
      <c r="A12" s="1" t="s">
        <v>134</v>
      </c>
      <c r="B12" s="2" t="s">
        <v>13</v>
      </c>
      <c r="C12" s="2" t="s">
        <v>14</v>
      </c>
      <c r="D12" s="1" t="s">
        <v>135</v>
      </c>
      <c r="E12" s="16" t="s">
        <v>136</v>
      </c>
    </row>
    <row r="13" customFormat="false" ht="15" hidden="false" customHeight="false" outlineLevel="0" collapsed="false">
      <c r="A13" s="1" t="s">
        <v>21</v>
      </c>
      <c r="B13" s="2" t="s">
        <v>13</v>
      </c>
      <c r="C13" s="2" t="s">
        <v>5</v>
      </c>
      <c r="D13" s="1" t="s">
        <v>22</v>
      </c>
      <c r="E13" s="8" t="n">
        <v>1</v>
      </c>
    </row>
    <row r="14" customFormat="false" ht="45" hidden="false" customHeight="false" outlineLevel="0" collapsed="false">
      <c r="A14" s="10" t="s">
        <v>137</v>
      </c>
      <c r="B14" s="2" t="s">
        <v>13</v>
      </c>
      <c r="C14" s="2" t="s">
        <v>14</v>
      </c>
      <c r="D14" s="7" t="s">
        <v>138</v>
      </c>
      <c r="E14" s="17" t="s">
        <v>139</v>
      </c>
    </row>
    <row r="15" customFormat="false" ht="15" hidden="false" customHeight="false" outlineLevel="0" collapsed="false">
      <c r="A15" s="1" t="s">
        <v>140</v>
      </c>
      <c r="B15" s="2" t="s">
        <v>13</v>
      </c>
      <c r="C15" s="2" t="s">
        <v>5</v>
      </c>
      <c r="D15" s="1" t="s">
        <v>141</v>
      </c>
      <c r="E15" s="2" t="n">
        <v>1</v>
      </c>
    </row>
    <row r="16" customFormat="false" ht="15" hidden="false" customHeight="false" outlineLevel="0" collapsed="false">
      <c r="A16" s="1" t="s">
        <v>40</v>
      </c>
      <c r="B16" s="2" t="s">
        <v>13</v>
      </c>
      <c r="C16" s="2" t="s">
        <v>31</v>
      </c>
      <c r="D16" s="1" t="s">
        <v>142</v>
      </c>
      <c r="E16" s="2" t="b">
        <f aca="false">FALSE()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2019-12-15T22:13:22Z</dcterms:created>
  <dc:creator>laura</dc:creator>
  <dc:description/>
  <dc:language>de-DE</dc:language>
  <cp:lastModifiedBy/>
  <dcterms:modified xsi:type="dcterms:W3CDTF">2026-06-08T08:26:11Z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